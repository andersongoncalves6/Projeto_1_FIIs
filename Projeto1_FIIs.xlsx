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er\Documents\Curso DIO\"/>
    </mc:Choice>
  </mc:AlternateContent>
  <xr:revisionPtr revIDLastSave="0" documentId="13_ncr:1_{5DB1093A-B078-4214-93A2-1EFCCFF6C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  <sheet name="Folha2" sheetId="2" r:id="rId2"/>
  </sheets>
  <definedNames>
    <definedName name="aporte">Folha1!$D$17</definedName>
    <definedName name="qtd_anos">Folha1!$D$18</definedName>
    <definedName name="Rendimento_carteira">Folha1!$D$13</definedName>
    <definedName name="tx_mensal">Folha1!$D$19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42" i="1"/>
  <c r="C41" i="1"/>
  <c r="C40" i="1"/>
  <c r="C39" i="1"/>
  <c r="C38" i="1"/>
  <c r="C37" i="1"/>
  <c r="C34" i="1"/>
  <c r="C33" i="1"/>
  <c r="C29" i="1"/>
  <c r="D29" i="1" s="1"/>
  <c r="C28" i="1"/>
  <c r="D28" i="1" s="1"/>
  <c r="C27" i="1"/>
  <c r="D27" i="1" s="1"/>
  <c r="C26" i="1"/>
  <c r="D26" i="1" s="1"/>
  <c r="C25" i="1"/>
  <c r="D25" i="1" s="1"/>
  <c r="D22" i="1"/>
  <c r="D20" i="1"/>
  <c r="D21" i="1" s="1"/>
  <c r="D14" i="1"/>
  <c r="D37" i="1" l="1"/>
  <c r="D38" i="1"/>
  <c r="D39" i="1"/>
  <c r="D40" i="1"/>
  <c r="D41" i="1"/>
  <c r="D42" i="1"/>
  <c r="D43" i="1"/>
</calcChain>
</file>

<file path=xl/sharedStrings.xml><?xml version="1.0" encoding="utf-8"?>
<sst xmlns="http://schemas.openxmlformats.org/spreadsheetml/2006/main" count="78" uniqueCount="38">
  <si>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</si>
  <si>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</si>
  <si>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</si>
  <si>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</si>
  <si>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</si>
  <si>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</si>
  <si>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</si>
  <si>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</si>
  <si>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</si>
  <si>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</si>
  <si>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Tempo para acumular 1 milhão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</si>
  <si>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</si>
  <si>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</si>
  <si>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</si>
  <si>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</si>
  <si>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</si>
  <si>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</si>
  <si>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</si>
  <si>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</si>
  <si>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</si>
  <si>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</si>
  <si>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</si>
  <si>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</si>
  <si>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</si>
  <si>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</si>
  <si>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</si>
  <si>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</si>
  <si>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</si>
  <si>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</si>
  <si>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</si>
  <si>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Chave</t>
  </si>
  <si>
    <t>Percent</t>
  </si>
  <si>
    <t>Caract</t>
  </si>
  <si>
    <t>Conservador</t>
  </si>
  <si>
    <t>Renda estável, baixo risco, previsibilidade</t>
  </si>
  <si>
    <t>Moderado</t>
  </si>
  <si>
    <t>Equilíbrio entre renda e crescimento</t>
  </si>
  <si>
    <t>Alto crescimento, maior risco, volatilidade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</si>
</sst>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R$-416]\ #,##0.00"/>
  </numFmts>
  <fonts count="8" x14ac:knownFonts="1">
    <font>
      <sz val="11"/>
      <color theme="1"/>
      <name val="Calibri"/>
      <scheme val="minor"/>
    </font>
    <font>
      <b/>
      <sz val="16"/>
      <color theme="0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b/>
      <sz val="12"/>
      <color theme="0"/>
      <name val="Calibri"/>
      <scheme val="minor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</fills>
  <borders count="41">
    <border>
      <left/>
      <right/>
      <top/>
      <bottom/>
      <diagonal/>
    </border>
    <border>
      <left style="thick">
        <color theme="8" tint="-0.249977111117893"/>
      </left>
      <right/>
      <top style="thick">
        <color theme="8" tint="-0.249977111117893"/>
      </top>
      <bottom style="medium">
        <color theme="0" tint="-0.249977111117893"/>
      </bottom>
      <diagonal/>
    </border>
    <border>
      <left/>
      <right/>
      <top style="thick">
        <color theme="8" tint="-0.249977111117893"/>
      </top>
      <bottom style="medium">
        <color theme="0" tint="-0.249977111117893"/>
      </bottom>
      <diagonal/>
    </border>
    <border>
      <left/>
      <right style="thick">
        <color theme="8" tint="-0.249977111117893"/>
      </right>
      <top style="thick">
        <color theme="8" tint="-0.249977111117893"/>
      </top>
      <bottom style="medium">
        <color theme="0" tint="-0.249977111117893"/>
      </bottom>
      <diagonal/>
    </border>
    <border>
      <left style="thick">
        <color theme="8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ck">
        <color theme="8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ck">
        <color theme="8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8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8" tint="-0.249977111117893"/>
      </bottom>
      <diagonal/>
    </border>
    <border>
      <left style="medium">
        <color theme="0" tint="-0.249977111117893"/>
      </left>
      <right style="thick">
        <color theme="8" tint="-0.249977111117893"/>
      </right>
      <top style="medium">
        <color theme="0" tint="-0.249977111117893"/>
      </top>
      <bottom style="thick">
        <color theme="8" tint="-0.249977111117893"/>
      </bottom>
      <diagonal/>
    </border>
    <border>
      <left style="thick">
        <color theme="4" tint="-0.499984740745262"/>
      </left>
      <right style="medium">
        <color theme="0" tint="-0.249977111117893"/>
      </right>
      <top style="thick">
        <color theme="4" tint="-0.499984740745262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4" tint="-0.499984740745262"/>
      </top>
      <bottom style="medium">
        <color theme="0" tint="-0.249977111117893"/>
      </bottom>
      <diagonal/>
    </border>
    <border>
      <left style="medium">
        <color theme="0" tint="-0.249977111117893"/>
      </left>
      <right style="thick">
        <color theme="4" tint="-0.499984740745262"/>
      </right>
      <top style="thick">
        <color theme="4" tint="-0.499984740745262"/>
      </top>
      <bottom style="medium">
        <color theme="0" tint="-0.249977111117893"/>
      </bottom>
      <diagonal/>
    </border>
    <border>
      <left style="thick">
        <color theme="4" tint="-0.499984740745262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ck">
        <color theme="4" tint="-0.499984740745262"/>
      </right>
      <top style="medium">
        <color theme="0" tint="-0.249977111117893"/>
      </top>
      <bottom style="medium">
        <color theme="0" tint="-0.249977111117893"/>
      </bottom>
      <diagonal/>
    </border>
    <border>
      <left style="thick">
        <color theme="4" tint="-0.499984740745262"/>
      </left>
      <right style="medium">
        <color theme="0" tint="-0.249977111117893"/>
      </right>
      <top style="medium">
        <color theme="0" tint="-0.249977111117893"/>
      </top>
      <bottom style="thick">
        <color theme="4" tint="-0.499984740745262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ck">
        <color theme="4" tint="-0.499984740745262"/>
      </bottom>
      <diagonal/>
    </border>
    <border>
      <left style="medium">
        <color theme="0" tint="-0.249977111117893"/>
      </left>
      <right style="thick">
        <color theme="4" tint="-0.499984740745262"/>
      </right>
      <top style="medium">
        <color theme="0" tint="-0.249977111117893"/>
      </top>
      <bottom style="thick">
        <color theme="4" tint="-0.499984740745262"/>
      </bottom>
      <diagonal/>
    </border>
    <border>
      <left style="thick">
        <color theme="8" tint="-0.249977111117893"/>
      </left>
      <right/>
      <top style="thick">
        <color theme="8" tint="-0.249977111117893"/>
      </top>
      <bottom/>
      <diagonal/>
    </border>
    <border>
      <left/>
      <right/>
      <top style="thick">
        <color theme="8" tint="-0.249977111117893"/>
      </top>
      <bottom/>
      <diagonal/>
    </border>
    <border>
      <left/>
      <right style="thick">
        <color theme="8" tint="-0.249977111117893"/>
      </right>
      <top style="thick">
        <color theme="8" tint="-0.249977111117893"/>
      </top>
      <bottom/>
      <diagonal/>
    </border>
    <border>
      <left style="thick">
        <color theme="8" tint="-0.249977111117893"/>
      </left>
      <right/>
      <top/>
      <bottom/>
      <diagonal/>
    </border>
    <border>
      <left/>
      <right style="thick">
        <color theme="8" tint="-0.249977111117893"/>
      </right>
      <top/>
      <bottom/>
      <diagonal/>
    </border>
    <border>
      <left style="thick">
        <color theme="8" tint="-0.249977111117893"/>
      </left>
      <right/>
      <top/>
      <bottom style="thick">
        <color theme="8" tint="-0.249977111117893"/>
      </bottom>
      <diagonal/>
    </border>
    <border>
      <left/>
      <right/>
      <top/>
      <bottom style="thick">
        <color theme="8" tint="-0.249977111117893"/>
      </bottom>
      <diagonal/>
    </border>
    <border>
      <left/>
      <right style="thick">
        <color theme="8" tint="-0.249977111117893"/>
      </right>
      <top/>
      <bottom style="thick">
        <color theme="8" tint="-0.249977111117893"/>
      </bottom>
      <diagonal/>
    </border>
    <border>
      <left style="thick">
        <color theme="4" tint="-0.499984740745262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thick">
        <color theme="4" tint="-0.499984740745262"/>
      </right>
      <top style="medium">
        <color theme="0" tint="-0.249977111117893"/>
      </top>
      <bottom/>
      <diagonal/>
    </border>
    <border>
      <left style="thick">
        <color theme="4" tint="-0.499984740745262"/>
      </left>
      <right/>
      <top/>
      <bottom style="thick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4" tint="-0.499984740745262"/>
      </right>
      <top/>
      <bottom style="thick">
        <color theme="4" tint="-0.499984740745262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44" fontId="7" fillId="2" borderId="0" applyFont="0" applyFill="0" applyBorder="0"/>
  </cellStyleXfs>
  <cellXfs count="65">
    <xf numFmtId="0" fontId="0" fillId="0" borderId="0" xfId="0"/>
    <xf numFmtId="164" fontId="0" fillId="0" borderId="6" xfId="1" applyNumberFormat="1" applyFont="1" applyFill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164" fontId="0" fillId="0" borderId="14" xfId="1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0" fontId="0" fillId="0" borderId="14" xfId="0" applyNumberFormat="1" applyBorder="1" applyAlignment="1">
      <alignment horizontal="center"/>
    </xf>
    <xf numFmtId="164" fontId="4" fillId="6" borderId="14" xfId="1" applyNumberFormat="1" applyFont="1" applyFill="1" applyBorder="1" applyAlignment="1">
      <alignment horizontal="center"/>
    </xf>
    <xf numFmtId="1" fontId="4" fillId="6" borderId="17" xfId="1" applyNumberFormat="1" applyFont="1" applyFill="1" applyBorder="1" applyAlignment="1">
      <alignment horizontal="center"/>
    </xf>
    <xf numFmtId="0" fontId="5" fillId="0" borderId="0" xfId="0" applyFont="1"/>
    <xf numFmtId="0" fontId="2" fillId="6" borderId="13" xfId="0" applyFont="1" applyFill="1" applyBorder="1" applyAlignment="1">
      <alignment horizontal="center"/>
    </xf>
    <xf numFmtId="164" fontId="0" fillId="6" borderId="5" xfId="1" applyNumberFormat="1" applyFont="1" applyFill="1" applyBorder="1" applyAlignment="1">
      <alignment horizontal="center"/>
    </xf>
    <xf numFmtId="164" fontId="0" fillId="6" borderId="14" xfId="1" applyNumberFormat="1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164" fontId="0" fillId="6" borderId="16" xfId="1" applyNumberFormat="1" applyFont="1" applyFill="1" applyBorder="1" applyAlignment="1">
      <alignment horizontal="center"/>
    </xf>
    <xf numFmtId="164" fontId="0" fillId="6" borderId="17" xfId="1" applyNumberFormat="1" applyFont="1" applyFill="1" applyBorder="1" applyAlignment="1">
      <alignment horizontal="center"/>
    </xf>
    <xf numFmtId="0" fontId="3" fillId="7" borderId="18" xfId="0" applyFont="1" applyFill="1" applyBorder="1"/>
    <xf numFmtId="0" fontId="4" fillId="7" borderId="19" xfId="0" applyFont="1" applyFill="1" applyBorder="1" applyAlignment="1">
      <alignment horizontal="left"/>
    </xf>
    <xf numFmtId="0" fontId="0" fillId="7" borderId="20" xfId="0" applyFill="1" applyBorder="1"/>
    <xf numFmtId="0" fontId="3" fillId="7" borderId="21" xfId="0" applyFont="1" applyFill="1" applyBorder="1"/>
    <xf numFmtId="0" fontId="4" fillId="8" borderId="23" xfId="0" applyFont="1" applyFill="1" applyBorder="1"/>
    <xf numFmtId="164" fontId="4" fillId="8" borderId="24" xfId="0" applyNumberFormat="1" applyFont="1" applyFill="1" applyBorder="1" applyAlignment="1">
      <alignment horizontal="center"/>
    </xf>
    <xf numFmtId="0" fontId="0" fillId="8" borderId="25" xfId="0" applyFill="1" applyBorder="1"/>
    <xf numFmtId="0" fontId="6" fillId="5" borderId="10" xfId="0" applyFont="1" applyFill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6" borderId="13" xfId="0" applyFill="1" applyBorder="1"/>
    <xf numFmtId="9" fontId="0" fillId="6" borderId="5" xfId="0" applyNumberFormat="1" applyFill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0" fontId="0" fillId="6" borderId="26" xfId="0" applyFill="1" applyBorder="1"/>
    <xf numFmtId="9" fontId="0" fillId="6" borderId="27" xfId="0" applyNumberFormat="1" applyFill="1" applyBorder="1" applyAlignment="1">
      <alignment horizontal="center"/>
    </xf>
    <xf numFmtId="164" fontId="0" fillId="6" borderId="28" xfId="0" applyNumberFormat="1" applyFill="1" applyBorder="1" applyAlignment="1">
      <alignment horizontal="center"/>
    </xf>
    <xf numFmtId="0" fontId="0" fillId="9" borderId="29" xfId="0" applyFill="1" applyBorder="1"/>
    <xf numFmtId="0" fontId="0" fillId="9" borderId="30" xfId="0" applyFill="1" applyBorder="1"/>
    <xf numFmtId="164" fontId="4" fillId="9" borderId="3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32" xfId="0" applyFill="1" applyBorder="1"/>
    <xf numFmtId="0" fontId="0" fillId="8" borderId="33" xfId="0" applyFill="1" applyBorder="1"/>
    <xf numFmtId="9" fontId="0" fillId="8" borderId="34" xfId="0" applyNumberFormat="1" applyFill="1" applyBorder="1" applyAlignment="1">
      <alignment horizontal="center"/>
    </xf>
    <xf numFmtId="0" fontId="0" fillId="8" borderId="35" xfId="0" applyFill="1" applyBorder="1"/>
    <xf numFmtId="0" fontId="0" fillId="8" borderId="36" xfId="0" applyFill="1" applyBorder="1"/>
    <xf numFmtId="9" fontId="0" fillId="8" borderId="37" xfId="0" applyNumberFormat="1" applyFill="1" applyBorder="1" applyAlignment="1">
      <alignment horizontal="center"/>
    </xf>
    <xf numFmtId="0" fontId="0" fillId="8" borderId="38" xfId="0" applyFill="1" applyBorder="1"/>
    <xf numFmtId="0" fontId="0" fillId="8" borderId="39" xfId="0" applyFill="1" applyBorder="1"/>
    <xf numFmtId="9" fontId="0" fillId="8" borderId="40" xfId="0" applyNumberForma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22" xfId="0" applyFill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ill>
        <patternFill patternType="solid">
          <fgColor rgb="FF9CC3E6"/>
          <bgColor rgb="FF9CC3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Folha1!$C$36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077-4DEA-B2D6-8F40BB8C1541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077-4DEA-B2D6-8F40BB8C1541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077-4DEA-B2D6-8F40BB8C1541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077-4DEA-B2D6-8F40BB8C1541}"/>
              </c:ext>
            </c:extLst>
          </c:dPt>
          <c:dPt>
            <c:idx val="4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077-4DEA-B2D6-8F40BB8C1541}"/>
              </c:ext>
            </c:extLst>
          </c:dPt>
          <c:dPt>
            <c:idx val="5"/>
            <c:bubble3D val="0"/>
            <c:spPr>
              <a:prstGeom prst="rect">
                <a:avLst/>
              </a:prstGeom>
              <a:gradFill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7077-4DEA-B2D6-8F40BB8C1541}"/>
              </c:ext>
            </c:extLst>
          </c:dPt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Folha1!$B$38:$B$43</c:f>
              <c:strCache>
                <c:ptCount val="5"/>
                <c:pt idx="0">
                  <c:v>Tijolo</c:v>
                </c:pt>
                <c:pt idx="1">
                  <c:v>Híbrido</c:v>
                </c:pt>
                <c:pt idx="2">
                  <c:v>FOFs</c:v>
                </c:pt>
                <c:pt idx="3">
                  <c:v>Desenvolvimento</c:v>
                </c:pt>
                <c:pt idx="4">
                  <c:v>Hotelaria</c:v>
                </c:pt>
              </c:strCache>
            </c:strRef>
          </c:cat>
          <c:val>
            <c:numRef>
              <c:f>Folha1!$C$37:$C$42</c:f>
              <c:numCache>
                <c:formatCode>0%</c:formatCode>
                <c:ptCount val="6"/>
                <c:pt idx="0">
                  <c:v>0.3</c:v>
                </c:pt>
                <c:pt idx="1">
                  <c:v>0.3</c:v>
                </c:pt>
                <c:pt idx="2">
                  <c:v>0.15</c:v>
                </c:pt>
                <c:pt idx="3">
                  <c:v>0.15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77-4DEA-B2D6-8F40BB8C15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prstGeom prst="rect">
          <a:avLst/>
        </a:prstGeom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0573063030635963"/>
          <c:y val="2.9857200346048218E-2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558797" y="8483597"/>
      <a:ext cx="4013201" cy="247650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  <a:alpha val="0"/>
        </a:schemeClr>
      </a:solidFill>
      <a:prstDash val="solid"/>
      <a:round/>
    </a:ln>
  </c:spPr>
  <c:txPr>
    <a:bodyPr/>
    <a:lstStyle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558797</xdr:colOff>
      <xdr:row>44</xdr:row>
      <xdr:rowOff>88897</xdr:rowOff>
    </xdr:from>
    <xdr:to>
      <xdr:col>2</xdr:col>
      <xdr:colOff>749299</xdr:colOff>
      <xdr:row>58</xdr:row>
      <xdr:rowOff>76199</xdr:rowOff>
    </xdr:to>
    <xdr:graphicFrame macro="">
      <xdr:nvGraphicFramePr>
        <xdr:cNvPr id="1594072394" name="Gráfico 1594072393">
          <a:extLst>
            <a:ext uri="{FF2B5EF4-FFF2-40B4-BE49-F238E27FC236}">
              <a16:creationId xmlns:a16="http://schemas.microsoft.com/office/drawing/2014/main" id="{00000000-0008-0000-0000-00004A9D0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257175</xdr:colOff>
      <xdr:row>0</xdr:row>
      <xdr:rowOff>168274</xdr:rowOff>
    </xdr:from>
    <xdr:ext cx="6486524" cy="1420720"/>
    <xdr:pic>
      <xdr:nvPicPr>
        <xdr:cNvPr id="1431674610" name="Imagem 1431674609">
          <a:extLst>
            <a:ext uri="{FF2B5EF4-FFF2-40B4-BE49-F238E27FC236}">
              <a16:creationId xmlns:a16="http://schemas.microsoft.com/office/drawing/2014/main" id="{00000000-0008-0000-0000-0000F29E55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5553" b="25165"/>
        <a:stretch/>
      </xdr:blipFill>
      <xdr:spPr bwMode="auto">
        <a:xfrm>
          <a:off x="257175" y="168274"/>
          <a:ext cx="6486524" cy="14207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ACQ43"/>
  <sheetViews>
    <sheetView showGridLines="0" tabSelected="1" topLeftCell="A14" zoomScale="140" zoomScaleNormal="140" workbookViewId="0">
      <selection activeCell="E34" sqref="E34"/>
    </sheetView>
  </sheetViews>
  <sheetFormatPr defaultColWidth="0" defaultRowHeight="15" x14ac:dyDescent="0.25"/>
  <cols>
    <col min="1" max="1" width="8.85546875" customWidth="1"/>
    <col min="2" max="2" width="48.140625" customWidth="1"/>
    <col min="3" max="3" width="19.7109375" bestFit="1" customWidth="1"/>
    <col min="4" max="4" width="17" bestFit="1" customWidth="1"/>
    <col min="5" max="5" width="23" bestFit="1" customWidth="1"/>
    <col min="6" max="6" width="0" hidden="1" customWidth="1"/>
    <col min="7" max="771" width="23" hidden="1"/>
  </cols>
  <sheetData>
    <row r="11" spans="2:4" ht="21" x14ac:dyDescent="0.35">
      <c r="B11" s="57" t="s">
        <v>0</v>
      </c>
      <c r="C11" s="58"/>
      <c r="D11" s="59"/>
    </row>
    <row r="12" spans="2:4" ht="15.75" x14ac:dyDescent="0.25">
      <c r="B12" s="60" t="s">
        <v>1</v>
      </c>
      <c r="C12" s="61"/>
      <c r="D12" s="1">
        <v>2000</v>
      </c>
    </row>
    <row r="13" spans="2:4" ht="15.75" x14ac:dyDescent="0.25">
      <c r="B13" s="60" t="s">
        <v>2</v>
      </c>
      <c r="C13" s="61"/>
      <c r="D13" s="2">
        <v>1.0800000000000001E-2</v>
      </c>
    </row>
    <row r="14" spans="2:4" ht="15.75" x14ac:dyDescent="0.25">
      <c r="B14" s="62" t="s">
        <v>3</v>
      </c>
      <c r="C14" s="63"/>
      <c r="D14" s="3">
        <f>D12*30%</f>
        <v>600</v>
      </c>
    </row>
    <row r="16" spans="2:4" ht="21" x14ac:dyDescent="0.35">
      <c r="B16" s="49" t="s">
        <v>4</v>
      </c>
      <c r="C16" s="50"/>
      <c r="D16" s="64"/>
    </row>
    <row r="17" spans="1:4" ht="15.75" x14ac:dyDescent="0.25">
      <c r="B17" s="53" t="s">
        <v>5</v>
      </c>
      <c r="C17" s="54"/>
      <c r="D17" s="5">
        <v>220</v>
      </c>
    </row>
    <row r="18" spans="1:4" ht="15.75" x14ac:dyDescent="0.25">
      <c r="B18" s="53" t="s">
        <v>6</v>
      </c>
      <c r="C18" s="54"/>
      <c r="D18" s="6">
        <v>25</v>
      </c>
    </row>
    <row r="19" spans="1:4" ht="15.75" x14ac:dyDescent="0.25">
      <c r="B19" s="53" t="s">
        <v>7</v>
      </c>
      <c r="C19" s="54"/>
      <c r="D19" s="7">
        <v>1.0789999999999999E-2</v>
      </c>
    </row>
    <row r="20" spans="1:4" ht="15.75" x14ac:dyDescent="0.25">
      <c r="B20" s="55" t="s">
        <v>8</v>
      </c>
      <c r="C20" s="56"/>
      <c r="D20" s="8">
        <f>FV(tx_mensal,qtd_anos*12,aporte*-1)</f>
        <v>489742.36811241112</v>
      </c>
    </row>
    <row r="21" spans="1:4" ht="15.75" x14ac:dyDescent="0.25">
      <c r="B21" s="55" t="s">
        <v>9</v>
      </c>
      <c r="C21" s="56"/>
      <c r="D21" s="8">
        <f>D20*D13</f>
        <v>5289.2175756140405</v>
      </c>
    </row>
    <row r="22" spans="1:4" ht="15.75" x14ac:dyDescent="0.25">
      <c r="B22" s="47" t="s">
        <v>10</v>
      </c>
      <c r="C22" s="48"/>
      <c r="D22" s="9" t="str">
        <f>INT(NPER(tx_mensal,aporte*-1,0,1000000)/12)&amp;" anos"</f>
        <v>30 anos</v>
      </c>
    </row>
    <row r="24" spans="1:4" ht="21" x14ac:dyDescent="0.35">
      <c r="B24" s="49" t="s">
        <v>11</v>
      </c>
      <c r="C24" s="50"/>
      <c r="D24" s="4" t="s">
        <v>12</v>
      </c>
    </row>
    <row r="25" spans="1:4" ht="15.75" x14ac:dyDescent="0.25">
      <c r="A25" s="10">
        <v>2</v>
      </c>
      <c r="B25" s="11" t="s">
        <v>13</v>
      </c>
      <c r="C25" s="12">
        <f t="shared" ref="C25:C29" si="0">FV($D$19,$A25*12,$D$17*-1)</f>
        <v>5990.0780054819479</v>
      </c>
      <c r="D25" s="13">
        <f t="shared" ref="D25:D29" si="1">C25*$D$13</f>
        <v>64.692842459205039</v>
      </c>
    </row>
    <row r="26" spans="1:4" ht="15.75" x14ac:dyDescent="0.25">
      <c r="A26" s="10">
        <v>5</v>
      </c>
      <c r="B26" s="11" t="s">
        <v>14</v>
      </c>
      <c r="C26" s="12">
        <f t="shared" si="0"/>
        <v>18430.921079667281</v>
      </c>
      <c r="D26" s="13">
        <f t="shared" si="1"/>
        <v>199.05394766040666</v>
      </c>
    </row>
    <row r="27" spans="1:4" ht="15.75" x14ac:dyDescent="0.25">
      <c r="A27" s="10">
        <v>10</v>
      </c>
      <c r="B27" s="11" t="s">
        <v>15</v>
      </c>
      <c r="C27" s="12">
        <f t="shared" si="0"/>
        <v>53522.526756637882</v>
      </c>
      <c r="D27" s="13">
        <f t="shared" si="1"/>
        <v>578.04328897168921</v>
      </c>
    </row>
    <row r="28" spans="1:4" ht="15.75" x14ac:dyDescent="0.25">
      <c r="A28" s="10">
        <v>20</v>
      </c>
      <c r="B28" s="11" t="s">
        <v>16</v>
      </c>
      <c r="C28" s="12">
        <f t="shared" si="0"/>
        <v>247543.64802135772</v>
      </c>
      <c r="D28" s="13">
        <f t="shared" si="1"/>
        <v>2673.4713986306633</v>
      </c>
    </row>
    <row r="29" spans="1:4" ht="15.75" x14ac:dyDescent="0.25">
      <c r="A29" s="10">
        <v>30</v>
      </c>
      <c r="B29" s="14" t="s">
        <v>17</v>
      </c>
      <c r="C29" s="15">
        <f t="shared" si="0"/>
        <v>950877.32410103723</v>
      </c>
      <c r="D29" s="16">
        <f t="shared" si="1"/>
        <v>10269.475100291203</v>
      </c>
    </row>
    <row r="32" spans="1:4" ht="15.75" x14ac:dyDescent="0.25">
      <c r="B32" s="17" t="s">
        <v>18</v>
      </c>
      <c r="C32" s="18" t="s">
        <v>35</v>
      </c>
      <c r="D32" s="19"/>
    </row>
    <row r="33" spans="2:4" ht="15.75" x14ac:dyDescent="0.25">
      <c r="B33" s="20"/>
      <c r="C33" s="51" t="str">
        <f>VLOOKUP($C$32,Folha2!$H:$I,2,0)</f>
        <v>Equilíbrio entre renda e crescimento</v>
      </c>
      <c r="D33" s="52"/>
    </row>
    <row r="34" spans="2:4" x14ac:dyDescent="0.25">
      <c r="B34" s="21" t="s">
        <v>20</v>
      </c>
      <c r="C34" s="22">
        <f>aporte</f>
        <v>220</v>
      </c>
      <c r="D34" s="23"/>
    </row>
    <row r="36" spans="2:4" ht="15.75" x14ac:dyDescent="0.25">
      <c r="B36" s="24" t="s">
        <v>21</v>
      </c>
      <c r="C36" s="25" t="s">
        <v>22</v>
      </c>
      <c r="D36" s="26" t="s">
        <v>23</v>
      </c>
    </row>
    <row r="37" spans="2:4" x14ac:dyDescent="0.25">
      <c r="B37" s="27" t="s">
        <v>24</v>
      </c>
      <c r="C37" s="28">
        <f>VLOOKUP($C$32&amp;"-"&amp;B37,Folha2!$A:$D,4,0)</f>
        <v>0.3</v>
      </c>
      <c r="D37" s="29">
        <f t="shared" ref="D37:D42" si="2">C37*$C$34</f>
        <v>66</v>
      </c>
    </row>
    <row r="38" spans="2:4" x14ac:dyDescent="0.25">
      <c r="B38" s="27" t="s">
        <v>25</v>
      </c>
      <c r="C38" s="28">
        <f>VLOOKUP($C$32&amp;"-"&amp;B38,Folha2!$A:$D,4,0)</f>
        <v>0.3</v>
      </c>
      <c r="D38" s="29">
        <f t="shared" si="2"/>
        <v>66</v>
      </c>
    </row>
    <row r="39" spans="2:4" x14ac:dyDescent="0.25">
      <c r="B39" s="27" t="s">
        <v>26</v>
      </c>
      <c r="C39" s="28">
        <f>VLOOKUP($C$32&amp;"-"&amp;B39,Folha2!$A:$D,4,0)</f>
        <v>0.15</v>
      </c>
      <c r="D39" s="29">
        <f t="shared" si="2"/>
        <v>33</v>
      </c>
    </row>
    <row r="40" spans="2:4" x14ac:dyDescent="0.25">
      <c r="B40" s="27" t="s">
        <v>27</v>
      </c>
      <c r="C40" s="28">
        <f>VLOOKUP($C$32&amp;"-"&amp;B40,Folha2!$A:$D,4,0)</f>
        <v>0.15</v>
      </c>
      <c r="D40" s="29">
        <f t="shared" si="2"/>
        <v>33</v>
      </c>
    </row>
    <row r="41" spans="2:4" x14ac:dyDescent="0.25">
      <c r="B41" s="27" t="s">
        <v>28</v>
      </c>
      <c r="C41" s="28">
        <f>VLOOKUP($C$32&amp;"-"&amp;B41,Folha2!$A:$D,4,0)</f>
        <v>0.05</v>
      </c>
      <c r="D41" s="29">
        <f t="shared" si="2"/>
        <v>11</v>
      </c>
    </row>
    <row r="42" spans="2:4" x14ac:dyDescent="0.25">
      <c r="B42" s="30" t="s">
        <v>29</v>
      </c>
      <c r="C42" s="31">
        <f>VLOOKUP($C$32&amp;"-"&amp;B42,Folha2!$A:$D,4,0)</f>
        <v>0.05</v>
      </c>
      <c r="D42" s="32">
        <f t="shared" si="2"/>
        <v>11</v>
      </c>
    </row>
    <row r="43" spans="2:4" x14ac:dyDescent="0.25">
      <c r="B43" s="33"/>
      <c r="C43" s="34"/>
      <c r="D43" s="35">
        <f>SUM(D37:D42)</f>
        <v>220</v>
      </c>
    </row>
  </sheetData>
  <mergeCells count="13">
    <mergeCell ref="B11:D11"/>
    <mergeCell ref="B12:C12"/>
    <mergeCell ref="B13:C13"/>
    <mergeCell ref="B14:C14"/>
    <mergeCell ref="B16:D16"/>
    <mergeCell ref="B22:C22"/>
    <mergeCell ref="B24:C24"/>
    <mergeCell ref="C33:D33"/>
    <mergeCell ref="B17:C17"/>
    <mergeCell ref="B18:C18"/>
    <mergeCell ref="B19:C19"/>
    <mergeCell ref="B20:C20"/>
    <mergeCell ref="B21:C21"/>
  </mergeCells>
  <conditionalFormatting sqref="D47">
    <cfRule type="cellIs" dxfId="0" priority="1" operator="equal">
      <formula>$C$33</formula>
    </cfRule>
  </conditionalFormatting>
  <dataValidations count="1">
    <dataValidation type="list" allowBlank="1" showInputMessage="1" showErrorMessage="1" sqref="C32" xr:uid="{D9FC56AC-E624-498C-BE80-E985D3712D69}">
      <formula1>"Conservador,Moderado,Agressivo"</formula1>
    </dataValidation>
  </dataValidations>
  <pageMargins left="0.511811024" right="0.511811024" top="0.78740157500000008" bottom="0.78740157500000008" header="0.31496062000000014" footer="0.3149606200000001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0"/>
  <sheetViews>
    <sheetView workbookViewId="0"/>
  </sheetViews>
  <sheetFormatPr defaultRowHeight="15" x14ac:dyDescent="0.25"/>
  <cols>
    <col min="1" max="1" width="27.7109375" bestFit="1"/>
    <col min="2" max="2" width="11.85546875" bestFit="1"/>
    <col min="3" max="3" width="15.85546875" bestFit="1"/>
    <col min="4" max="4" width="9.140625" style="36"/>
    <col min="7" max="7" width="15.28515625" bestFit="1"/>
    <col min="8" max="8" width="28.7109375" bestFit="1"/>
  </cols>
  <sheetData>
    <row r="2" spans="1:9" x14ac:dyDescent="0.25">
      <c r="A2" t="s">
        <v>30</v>
      </c>
      <c r="B2" t="s">
        <v>18</v>
      </c>
      <c r="C2" t="s">
        <v>21</v>
      </c>
      <c r="D2" s="36" t="s">
        <v>31</v>
      </c>
      <c r="H2" t="s">
        <v>18</v>
      </c>
      <c r="I2" t="s">
        <v>32</v>
      </c>
    </row>
    <row r="3" spans="1:9" x14ac:dyDescent="0.25">
      <c r="A3" t="str">
        <f t="shared" ref="A3:A9" si="0">B3&amp;"-"&amp;C3</f>
        <v>Conservador-Papel</v>
      </c>
      <c r="B3" t="s">
        <v>33</v>
      </c>
      <c r="C3" t="s">
        <v>24</v>
      </c>
      <c r="D3" s="37">
        <v>0.4</v>
      </c>
      <c r="H3" t="s">
        <v>33</v>
      </c>
      <c r="I3" t="s">
        <v>34</v>
      </c>
    </row>
    <row r="4" spans="1:9" x14ac:dyDescent="0.25">
      <c r="A4" t="str">
        <f t="shared" si="0"/>
        <v>Conservador-Tijolo</v>
      </c>
      <c r="B4" t="s">
        <v>33</v>
      </c>
      <c r="C4" t="s">
        <v>25</v>
      </c>
      <c r="D4" s="37">
        <v>0.35</v>
      </c>
      <c r="H4" t="s">
        <v>35</v>
      </c>
      <c r="I4" t="s">
        <v>36</v>
      </c>
    </row>
    <row r="5" spans="1:9" x14ac:dyDescent="0.25">
      <c r="A5" t="str">
        <f t="shared" si="0"/>
        <v>Conservador-Híbrido</v>
      </c>
      <c r="B5" t="s">
        <v>33</v>
      </c>
      <c r="C5" t="s">
        <v>26</v>
      </c>
      <c r="D5" s="37">
        <v>0.15</v>
      </c>
      <c r="H5" t="s">
        <v>19</v>
      </c>
      <c r="I5" t="s">
        <v>37</v>
      </c>
    </row>
    <row r="6" spans="1:9" x14ac:dyDescent="0.25">
      <c r="A6" t="str">
        <f t="shared" si="0"/>
        <v>Conservador-FOFs</v>
      </c>
      <c r="B6" t="s">
        <v>33</v>
      </c>
      <c r="C6" t="s">
        <v>27</v>
      </c>
      <c r="D6" s="37">
        <v>0.1</v>
      </c>
    </row>
    <row r="7" spans="1:9" x14ac:dyDescent="0.25">
      <c r="A7" t="str">
        <f t="shared" si="0"/>
        <v>Conservador-Desenvolvimento</v>
      </c>
      <c r="B7" t="s">
        <v>33</v>
      </c>
      <c r="C7" t="s">
        <v>28</v>
      </c>
      <c r="D7" s="37">
        <v>0</v>
      </c>
    </row>
    <row r="8" spans="1:9" x14ac:dyDescent="0.25">
      <c r="A8" t="str">
        <f t="shared" si="0"/>
        <v>Conservador-Hotelaria</v>
      </c>
      <c r="B8" t="s">
        <v>33</v>
      </c>
      <c r="C8" t="s">
        <v>29</v>
      </c>
      <c r="D8" s="37">
        <v>0</v>
      </c>
    </row>
    <row r="9" spans="1:9" x14ac:dyDescent="0.25">
      <c r="A9" s="38" t="str">
        <f t="shared" si="0"/>
        <v>Moderado-Papel</v>
      </c>
      <c r="B9" s="39" t="s">
        <v>35</v>
      </c>
      <c r="C9" s="39" t="s">
        <v>24</v>
      </c>
      <c r="D9" s="40">
        <v>0.3</v>
      </c>
    </row>
    <row r="10" spans="1:9" x14ac:dyDescent="0.25">
      <c r="A10" s="41" t="str">
        <f t="shared" ref="A10:A20" si="1">B10&amp;"-"&amp;C10</f>
        <v>Moderado-Tijolo</v>
      </c>
      <c r="B10" s="42" t="s">
        <v>35</v>
      </c>
      <c r="C10" s="42" t="s">
        <v>25</v>
      </c>
      <c r="D10" s="43">
        <v>0.3</v>
      </c>
    </row>
    <row r="11" spans="1:9" x14ac:dyDescent="0.25">
      <c r="A11" s="41" t="str">
        <f t="shared" si="1"/>
        <v>Moderado-Híbrido</v>
      </c>
      <c r="B11" s="42" t="s">
        <v>35</v>
      </c>
      <c r="C11" s="42" t="s">
        <v>26</v>
      </c>
      <c r="D11" s="43">
        <v>0.15</v>
      </c>
    </row>
    <row r="12" spans="1:9" x14ac:dyDescent="0.25">
      <c r="A12" s="41" t="str">
        <f t="shared" si="1"/>
        <v>Moderado-FOFs</v>
      </c>
      <c r="B12" s="42" t="s">
        <v>35</v>
      </c>
      <c r="C12" s="42" t="s">
        <v>27</v>
      </c>
      <c r="D12" s="43">
        <v>0.15</v>
      </c>
    </row>
    <row r="13" spans="1:9" x14ac:dyDescent="0.25">
      <c r="A13" s="41" t="str">
        <f t="shared" si="1"/>
        <v>Moderado-Desenvolvimento</v>
      </c>
      <c r="B13" s="42" t="s">
        <v>35</v>
      </c>
      <c r="C13" s="42" t="s">
        <v>28</v>
      </c>
      <c r="D13" s="43">
        <v>0.05</v>
      </c>
    </row>
    <row r="14" spans="1:9" x14ac:dyDescent="0.25">
      <c r="A14" s="44" t="str">
        <f t="shared" si="1"/>
        <v>Moderado-Hotelaria</v>
      </c>
      <c r="B14" s="45" t="s">
        <v>35</v>
      </c>
      <c r="C14" s="45" t="s">
        <v>29</v>
      </c>
      <c r="D14" s="46">
        <v>0.05</v>
      </c>
    </row>
    <row r="15" spans="1:9" x14ac:dyDescent="0.25">
      <c r="A15" t="str">
        <f t="shared" si="1"/>
        <v>Agressivo-Papel</v>
      </c>
      <c r="B15" t="s">
        <v>19</v>
      </c>
      <c r="C15" t="s">
        <v>24</v>
      </c>
      <c r="D15" s="37">
        <v>0.2</v>
      </c>
    </row>
    <row r="16" spans="1:9" x14ac:dyDescent="0.25">
      <c r="A16" t="str">
        <f t="shared" si="1"/>
        <v>Agressivo-Tijolo</v>
      </c>
      <c r="B16" t="s">
        <v>19</v>
      </c>
      <c r="C16" t="s">
        <v>25</v>
      </c>
      <c r="D16" s="37">
        <v>0.25</v>
      </c>
    </row>
    <row r="17" spans="1:4" x14ac:dyDescent="0.25">
      <c r="A17" t="str">
        <f t="shared" si="1"/>
        <v>Agressivo-Híbrido</v>
      </c>
      <c r="B17" t="s">
        <v>19</v>
      </c>
      <c r="C17" t="s">
        <v>26</v>
      </c>
      <c r="D17" s="37">
        <v>0.15</v>
      </c>
    </row>
    <row r="18" spans="1:4" x14ac:dyDescent="0.25">
      <c r="A18" t="str">
        <f t="shared" si="1"/>
        <v>Agressivo-FOFs</v>
      </c>
      <c r="B18" t="s">
        <v>19</v>
      </c>
      <c r="C18" t="s">
        <v>27</v>
      </c>
      <c r="D18" s="37">
        <v>0.1</v>
      </c>
    </row>
    <row r="19" spans="1:4" x14ac:dyDescent="0.25">
      <c r="A19" t="str">
        <f t="shared" si="1"/>
        <v>Agressivo-Desenvolvimento</v>
      </c>
      <c r="B19" t="s">
        <v>19</v>
      </c>
      <c r="C19" t="s">
        <v>28</v>
      </c>
      <c r="D19" s="37">
        <v>0.15</v>
      </c>
    </row>
    <row r="20" spans="1:4" x14ac:dyDescent="0.25">
      <c r="A20" t="str">
        <f t="shared" si="1"/>
        <v>Agressivo-Hotelaria</v>
      </c>
      <c r="B20" t="s">
        <v>19</v>
      </c>
      <c r="C20" t="s">
        <v>29</v>
      </c>
      <c r="D20" s="37">
        <v>0.15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Folha1</vt:lpstr>
      <vt:lpstr>Folha2</vt:lpstr>
      <vt:lpstr>aporte</vt:lpstr>
      <vt:lpstr>qtd_anos</vt:lpstr>
      <vt:lpstr>Rendimento_carteira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Gonçalves</cp:lastModifiedBy>
  <cp:revision>5</cp:revision>
  <dcterms:modified xsi:type="dcterms:W3CDTF">2026-06-08T23:01:19Z</dcterms:modified>
</cp:coreProperties>
</file>